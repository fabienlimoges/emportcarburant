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ons" sheetId="1" state="visible" r:id="rId1"/>
    <sheet name="E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&quot; L&quot;"/>
    <numFmt numFmtId="166" formatCode="0&quot; L (arrondi sup.)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4" borderId="1" pivotButton="0" quotePrefix="0" xfId="0"/>
    <xf numFmtId="0" fontId="6" fillId="0" borderId="1" pivotButton="0" quotePrefix="0" xfId="0"/>
    <xf numFmtId="164" fontId="6" fillId="0" borderId="1" pivotButton="0" quotePrefix="0" xfId="0"/>
    <xf numFmtId="1" fontId="2" fillId="3" borderId="1" pivotButton="0" quotePrefix="0" xfId="0"/>
    <xf numFmtId="9" fontId="2" fillId="3" borderId="1" pivotButton="0" quotePrefix="0" xfId="0"/>
    <xf numFmtId="1" fontId="2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/>
    </xf>
    <xf numFmtId="1" fontId="6" fillId="0" borderId="1" pivotButton="0" quotePrefix="0" xfId="0"/>
    <xf numFmtId="164" fontId="8" fillId="0" borderId="1" pivotButton="0" quotePrefix="0" xfId="0"/>
    <xf numFmtId="0" fontId="5" fillId="5" borderId="1" applyAlignment="1" pivotButton="0" quotePrefix="0" xfId="0">
      <alignment horizontal="right"/>
    </xf>
    <xf numFmtId="164" fontId="5" fillId="5" borderId="1" pivotButton="0" quotePrefix="0" xfId="0"/>
    <xf numFmtId="0" fontId="5" fillId="6" borderId="1" applyAlignment="1" pivotButton="0" quotePrefix="0" xfId="0">
      <alignment vertical="center" wrapText="1"/>
    </xf>
    <xf numFmtId="165" fontId="5" fillId="6" borderId="1" pivotButton="0" quotePrefix="0" xfId="0"/>
    <xf numFmtId="166" fontId="5" fillId="6" borderId="1" pivotButton="0" quotePrefix="0" xfId="0"/>
    <xf numFmtId="2" fontId="8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52" customWidth="1" min="4" max="4"/>
  </cols>
  <sheetData>
    <row r="1">
      <c r="A1" s="1" t="inlineStr">
        <is>
          <t>Immatriculation</t>
        </is>
      </c>
      <c r="B1" s="1" t="inlineStr">
        <is>
          <t>Conso horaire (L/h)</t>
        </is>
      </c>
      <c r="C1" s="1" t="inlineStr">
        <is>
          <t>Carburant inutilisable (L)</t>
        </is>
      </c>
      <c r="D1" s="1" t="inlineStr">
        <is>
          <t>Remarques</t>
        </is>
      </c>
    </row>
    <row r="2">
      <c r="A2" s="2" t="inlineStr">
        <is>
          <t>F-GABC</t>
        </is>
      </c>
      <c r="B2" s="3" t="n">
        <v>25</v>
      </c>
      <c r="C2" s="3" t="n">
        <v>4</v>
      </c>
      <c r="D2" s="4" t="inlineStr">
        <is>
          <t>DR400-120 — EXEMPLE, à remplacer par la flotte du club</t>
        </is>
      </c>
    </row>
    <row r="3">
      <c r="A3" s="2" t="inlineStr">
        <is>
          <t>F-GXYZ</t>
        </is>
      </c>
      <c r="B3" s="3" t="n">
        <v>22</v>
      </c>
      <c r="C3" s="3" t="n">
        <v>3.5</v>
      </c>
      <c r="D3" s="4" t="inlineStr">
        <is>
          <t>C152 — EXEMPLE, à remplacer</t>
        </is>
      </c>
    </row>
    <row r="4">
      <c r="A4" s="2" t="inlineStr">
        <is>
          <t>F-HDEF</t>
        </is>
      </c>
      <c r="B4" s="3" t="n">
        <v>27</v>
      </c>
      <c r="C4" s="3" t="n">
        <v>5</v>
      </c>
      <c r="D4" s="4" t="inlineStr">
        <is>
          <t>DR400-140 — EXEMPLE, à remplacer</t>
        </is>
      </c>
    </row>
    <row r="6">
      <c r="A6" s="5" t="inlineStr">
        <is>
          <t>Remplissez un avion par ligne (jusqu'à la ligne 30) : valeurs de consommation et de carburant inutilisable issues du manuel de vol de chaque avion. Les 3 lignes ci-dessus sont des exemples fournis par défaut — remplacez-les.</t>
        </is>
      </c>
    </row>
    <row r="7"/>
  </sheetData>
  <mergeCells count="1">
    <mergeCell ref="A6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3" customWidth="1" min="12" max="12"/>
  </cols>
  <sheetData>
    <row r="1">
      <c r="A1" s="6" t="inlineStr">
        <is>
          <t>EMPORT CARBURANT — NAVIGATION 3 ÉTAPES (exercice PPL)</t>
        </is>
      </c>
    </row>
    <row r="2">
      <c r="A2" s="7" t="inlineStr">
        <is>
          <t>Cellules jaunes (texte bleu) = à remplir par le pilote · cellules blanches = calculées automatiquement. Forfaits roulage/intégration et % d'aléas modifiables.</t>
        </is>
      </c>
    </row>
    <row r="4">
      <c r="A4" s="8" t="inlineStr">
        <is>
          <t>PARAMÈTRES DU VOL</t>
        </is>
      </c>
    </row>
    <row r="5">
      <c r="A5" s="9" t="inlineStr">
        <is>
          <t>Avion (menu déroulant)</t>
        </is>
      </c>
      <c r="B5" s="2" t="inlineStr">
        <is>
          <t>F-GABC</t>
        </is>
      </c>
    </row>
    <row r="6">
      <c r="A6" s="9" t="inlineStr">
        <is>
          <t>Conso horaire (L/h)</t>
        </is>
      </c>
      <c r="B6" s="10">
        <f>IFERROR(INDEX(Avions!$B$2:$B$30,MATCH($B$5,Avions!$A$2:$A$30,0)),"")</f>
        <v/>
      </c>
    </row>
    <row r="7">
      <c r="A7" s="9" t="inlineStr">
        <is>
          <t>Carburant inutilisable (L)</t>
        </is>
      </c>
      <c r="B7" s="10">
        <f>IFERROR(INDEX(Avions!$C$2:$C$30,MATCH($B$5,Avions!$A$2:$A$30,0)),"")</f>
        <v/>
      </c>
    </row>
    <row r="8">
      <c r="A8" s="9" t="inlineStr">
        <is>
          <t>Quantité réelle à bord au parking (L)</t>
        </is>
      </c>
      <c r="B8" s="11" t="n">
        <v>110</v>
      </c>
    </row>
    <row r="9">
      <c r="A9" s="9" t="inlineStr">
        <is>
          <t>Aléas (% de conso, par étape)</t>
        </is>
      </c>
      <c r="B9" s="12" t="n">
        <v>0.1</v>
      </c>
    </row>
    <row r="10">
      <c r="A10" s="9" t="inlineStr">
        <is>
          <t>Jour / Nuit</t>
        </is>
      </c>
      <c r="B10" s="2" t="inlineStr">
        <is>
          <t>Jour</t>
        </is>
      </c>
    </row>
    <row r="11">
      <c r="A11" s="9" t="inlineStr">
        <is>
          <t>Marge de sécurité CDB (min)</t>
        </is>
      </c>
      <c r="B11" s="11" t="n">
        <v>15</v>
      </c>
    </row>
    <row r="12">
      <c r="A12" s="9" t="inlineStr">
        <is>
          <t>Roulage forfaitaire (min / étape)</t>
        </is>
      </c>
      <c r="B12" s="13" t="n">
        <v>5</v>
      </c>
    </row>
    <row r="13">
      <c r="A13" s="9" t="inlineStr">
        <is>
          <t>Intégration terrain d'arrivée (min / étape)</t>
        </is>
      </c>
      <c r="B13" s="13" t="n">
        <v>10</v>
      </c>
    </row>
    <row r="15">
      <c r="A15" s="8" t="inlineStr">
        <is>
          <t>ÉTAPES</t>
        </is>
      </c>
    </row>
    <row r="16">
      <c r="A16" s="14" t="inlineStr">
        <is>
          <t>Étape</t>
        </is>
      </c>
      <c r="B16" s="14" t="inlineStr">
        <is>
          <t>De</t>
        </is>
      </c>
      <c r="C16" s="14" t="inlineStr">
        <is>
          <t>Vers</t>
        </is>
      </c>
      <c r="D16" s="14" t="inlineStr">
        <is>
          <t>Distance (NM)</t>
        </is>
      </c>
      <c r="E16" s="14" t="inlineStr">
        <is>
          <t>Vitesse sol (kt)</t>
        </is>
      </c>
      <c r="F16" s="14" t="inlineStr">
        <is>
          <t>Temps de vol (min)</t>
        </is>
      </c>
      <c r="G16" s="14" t="inlineStr">
        <is>
          <t>Roulage (min)</t>
        </is>
      </c>
      <c r="H16" s="14" t="inlineStr">
        <is>
          <t>Intégration (min)</t>
        </is>
      </c>
      <c r="I16" s="14" t="inlineStr">
        <is>
          <t>Temps total (min)</t>
        </is>
      </c>
      <c r="J16" s="14" t="inlineStr">
        <is>
          <t>Conso (L)</t>
        </is>
      </c>
      <c r="K16" s="14" t="inlineStr">
        <is>
          <t>Aléas (L)</t>
        </is>
      </c>
      <c r="L16" s="14" t="inlineStr">
        <is>
          <t>Total étape (L)</t>
        </is>
      </c>
    </row>
    <row r="17">
      <c r="A17" s="15" t="n">
        <v>1</v>
      </c>
      <c r="B17" s="2" t="inlineStr">
        <is>
          <t>LFXU</t>
        </is>
      </c>
      <c r="C17" s="2" t="inlineStr">
        <is>
          <t>LFFU</t>
        </is>
      </c>
      <c r="D17" s="11" t="n">
        <v>55</v>
      </c>
      <c r="E17" s="11" t="n">
        <v>95</v>
      </c>
      <c r="F17" s="10">
        <f>IFERROR(D17/E17*60,0)</f>
        <v/>
      </c>
      <c r="G17" s="16">
        <f>$B$12</f>
        <v/>
      </c>
      <c r="H17" s="16">
        <f>$B$13</f>
        <v/>
      </c>
      <c r="I17" s="10">
        <f>F17+G17+H17</f>
        <v/>
      </c>
      <c r="J17" s="10">
        <f>I17/60*$B$6</f>
        <v/>
      </c>
      <c r="K17" s="10">
        <f>J17*$B$9</f>
        <v/>
      </c>
      <c r="L17" s="17">
        <f>J17+K17</f>
        <v/>
      </c>
    </row>
    <row r="18">
      <c r="A18" s="15" t="n">
        <v>2</v>
      </c>
      <c r="B18" s="2" t="inlineStr">
        <is>
          <t>LFFU</t>
        </is>
      </c>
      <c r="C18" s="2" t="inlineStr">
        <is>
          <t>LFEH</t>
        </is>
      </c>
      <c r="D18" s="11" t="n">
        <v>48</v>
      </c>
      <c r="E18" s="11" t="n">
        <v>100</v>
      </c>
      <c r="F18" s="10">
        <f>IFERROR(D18/E18*60,0)</f>
        <v/>
      </c>
      <c r="G18" s="16">
        <f>$B$12</f>
        <v/>
      </c>
      <c r="H18" s="16">
        <f>$B$13</f>
        <v/>
      </c>
      <c r="I18" s="10">
        <f>F18+G18+H18</f>
        <v/>
      </c>
      <c r="J18" s="10">
        <f>I18/60*$B$6</f>
        <v/>
      </c>
      <c r="K18" s="10">
        <f>J18*$B$9</f>
        <v/>
      </c>
      <c r="L18" s="17">
        <f>J18+K18</f>
        <v/>
      </c>
    </row>
    <row r="19">
      <c r="A19" s="15" t="n">
        <v>3</v>
      </c>
      <c r="B19" s="2" t="inlineStr">
        <is>
          <t>LFEH</t>
        </is>
      </c>
      <c r="C19" s="2" t="inlineStr">
        <is>
          <t>LFXU</t>
        </is>
      </c>
      <c r="D19" s="11" t="n">
        <v>62</v>
      </c>
      <c r="E19" s="11" t="n">
        <v>90</v>
      </c>
      <c r="F19" s="10">
        <f>IFERROR(D19/E19*60,0)</f>
        <v/>
      </c>
      <c r="G19" s="16">
        <f>$B$12</f>
        <v/>
      </c>
      <c r="H19" s="16">
        <f>$B$13</f>
        <v/>
      </c>
      <c r="I19" s="10">
        <f>F19+G19+H19</f>
        <v/>
      </c>
      <c r="J19" s="10">
        <f>I19/60*$B$6</f>
        <v/>
      </c>
      <c r="K19" s="10">
        <f>J19*$B$9</f>
        <v/>
      </c>
      <c r="L19" s="17">
        <f>J19+K19</f>
        <v/>
      </c>
    </row>
    <row r="20">
      <c r="A20" s="18" t="inlineStr">
        <is>
          <t>Sous-total 3 étapes (roulage + vol + intégration + aléas)</t>
        </is>
      </c>
      <c r="L20" s="19">
        <f>SUM(L17:L19)</f>
        <v/>
      </c>
    </row>
    <row r="22">
      <c r="A22" s="8" t="inlineStr">
        <is>
          <t>SUPPLÉMENTS (ÉTAPE 3 UNIQUEMENT)</t>
        </is>
      </c>
    </row>
    <row r="23">
      <c r="A23" s="9" t="inlineStr">
        <is>
          <t>Terrain de dégagement</t>
        </is>
      </c>
      <c r="B23" s="2" t="inlineStr">
        <is>
          <t>LFOR</t>
        </is>
      </c>
    </row>
    <row r="24">
      <c r="A24" s="9" t="inlineStr">
        <is>
          <t>Distance de diversion (NM)</t>
        </is>
      </c>
      <c r="B24" s="11" t="n">
        <v>25</v>
      </c>
    </row>
    <row r="25">
      <c r="A25" s="9" t="inlineStr">
        <is>
          <t>Vitesse sol diversion (kt)</t>
        </is>
      </c>
      <c r="B25" s="11" t="n">
        <v>90</v>
      </c>
    </row>
    <row r="26">
      <c r="A26" s="9" t="inlineStr">
        <is>
          <t>Temps de diversion (min)</t>
        </is>
      </c>
      <c r="B26" s="10">
        <f>IFERROR(B24/B25*60,0)</f>
        <v/>
      </c>
    </row>
    <row r="27">
      <c r="A27" s="9" t="inlineStr">
        <is>
          <t>Carburant de diversion (L)</t>
        </is>
      </c>
      <c r="B27" s="10">
        <f>B26/60*$B$6</f>
        <v/>
      </c>
    </row>
    <row r="28">
      <c r="A28" s="9" t="inlineStr">
        <is>
          <t>Réserve finale réglementaire (min)</t>
        </is>
      </c>
      <c r="B28" s="16">
        <f>IF($B$10="Nuit",45,30)</f>
        <v/>
      </c>
    </row>
    <row r="29">
      <c r="A29" s="9" t="inlineStr">
        <is>
          <t>Réserve finale (L)</t>
        </is>
      </c>
      <c r="B29" s="10">
        <f>B28/60*$B$6</f>
        <v/>
      </c>
    </row>
    <row r="30">
      <c r="A30" s="9" t="inlineStr">
        <is>
          <t>Marge de sécurité CDB (L)</t>
        </is>
      </c>
      <c r="B30" s="10">
        <f>$B$11/60*$B$6</f>
        <v/>
      </c>
    </row>
    <row r="31">
      <c r="A31" s="9" t="inlineStr">
        <is>
          <t>Quantité inutilisable (L)</t>
        </is>
      </c>
      <c r="B31" s="10">
        <f>$B$7</f>
        <v/>
      </c>
    </row>
    <row r="33">
      <c r="A33" s="20" t="inlineStr">
        <is>
          <t>EMPORT RÉGLEMENTAIRE AU PARKING</t>
        </is>
      </c>
      <c r="B33" s="21">
        <f>L20+B27+B29+B30+B31</f>
        <v/>
      </c>
    </row>
    <row r="34">
      <c r="B34" s="22">
        <f>ROUNDUP(B33,0)</f>
        <v/>
      </c>
    </row>
    <row r="36">
      <c r="A36" s="8" t="inlineStr">
        <is>
          <t>INDICATEURS PILOTE</t>
        </is>
      </c>
    </row>
    <row r="37">
      <c r="A37" s="9" t="inlineStr">
        <is>
          <t>Carburant utilisable en vol (L)</t>
        </is>
      </c>
      <c r="B37" s="17">
        <f>$B$8-$B$7</f>
        <v/>
      </c>
    </row>
    <row r="38">
      <c r="A38" s="9" t="inlineStr">
        <is>
          <t>Autonomie correspondante (h)</t>
        </is>
      </c>
      <c r="B38" s="23">
        <f>IFERROR(($B$8-$B$7)/$B$6,0)</f>
        <v/>
      </c>
      <c r="C38" s="24">
        <f>INT(B38)&amp;" h "&amp;TEXT(ROUND((B38-INT(B38))*60,0),"00")</f>
        <v/>
      </c>
    </row>
    <row r="39">
      <c r="A39" s="9" t="inlineStr">
        <is>
          <t>Durée max du vol (h) — hors réserve finale et marge CDB</t>
        </is>
      </c>
      <c r="B39" s="23">
        <f>IFERROR(($B$8-$B$7-B29-B30)/$B$6,0)</f>
        <v/>
      </c>
      <c r="C39" s="24">
        <f>INT(B39)&amp;" h "&amp;TEXT(ROUND((B39-INT(B39))*60,0),"00")</f>
        <v/>
      </c>
    </row>
    <row r="40">
      <c r="A40" s="9" t="inlineStr">
        <is>
          <t>Vérification emport</t>
        </is>
      </c>
      <c r="B40" s="25">
        <f>IF($B$8&gt;=B33,"OK — emport suffisant","INSUFFISANT — compléter l'avitaillement")</f>
        <v/>
      </c>
    </row>
    <row r="42">
      <c r="A42" s="5" t="inlineStr">
        <is>
          <t>Hypothèses : roulage 5 min et intégration 10 min forfaitaires par étape (modifiables en B12/B13) ; aléas appliqués à la conso de chaque étape (B9) ; réserve finale 30 min jour / 45 min nuit (B10) ; la diversion est calculée depuis l'arrivée de l'étape 3, sans aléas. Durée max du vol = (carburant utilisable − réserve finale − marge CDB) / conso horaire. Valeurs pré-remplies = EXEMPLES à remplacer avant chaque vol. Conso et inutilisable : manuel de vol.</t>
        </is>
      </c>
    </row>
    <row r="43"/>
    <row r="44"/>
  </sheetData>
  <mergeCells count="10">
    <mergeCell ref="A4:B4"/>
    <mergeCell ref="A2:L2"/>
    <mergeCell ref="A15:L15"/>
    <mergeCell ref="A36:C36"/>
    <mergeCell ref="A20:K20"/>
    <mergeCell ref="A42:L44"/>
    <mergeCell ref="A1:L1"/>
    <mergeCell ref="A33:A34"/>
    <mergeCell ref="B40:C40"/>
    <mergeCell ref="A22:B22"/>
  </mergeCells>
  <conditionalFormatting sqref="B40">
    <cfRule type="cellIs" priority="1" operator="equal" dxfId="0">
      <formula>"OK — emport suffisant"</formula>
    </cfRule>
    <cfRule type="cellIs" priority="2" operator="notEqual" dxfId="1">
      <formula>"OK — emport suffisant"</formula>
    </cfRule>
  </conditionalFormatting>
  <dataValidations count="2">
    <dataValidation sqref="B5" showDropDown="0" showInputMessage="0" showErrorMessage="0" allowBlank="1" error="Choisissez un avion de l'onglet Avions" type="list">
      <formula1>=Avions!$A$2:$A$30</formula1>
    </dataValidation>
    <dataValidation sqref="B10" showDropDown="0" showInputMessage="0" showErrorMessage="0" allowBlank="0" type="list">
      <formula1>"Jour,Nuit"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2026-09-05T15:43:39Z</dcterms:created>
  <dcterms:modified xsi:type="dcterms:W3CDTF">2026-09-05T15:43:39Z</dcterms:modified>
</cp:coreProperties>
</file>